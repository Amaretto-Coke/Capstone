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nd\PycharmProjects\Capstone\"/>
    </mc:Choice>
  </mc:AlternateContent>
  <xr:revisionPtr revIDLastSave="0" documentId="13_ncr:1_{3F790D8E-E584-4121-98FC-226498921B29}" xr6:coauthVersionLast="45" xr6:coauthVersionMax="45" xr10:uidLastSave="{00000000-0000-0000-0000-000000000000}"/>
  <bookViews>
    <workbookView xWindow="-110" yWindow="-110" windowWidth="19420" windowHeight="10420" xr2:uid="{7EC25B19-00D2-4A99-AB5F-455464008791}"/>
  </bookViews>
  <sheets>
    <sheet name="Tool" sheetId="1" r:id="rId1"/>
    <sheet name="Setup" sheetId="2" r:id="rId2"/>
    <sheet name="Parameters" sheetId="3" r:id="rId3"/>
  </sheets>
  <definedNames>
    <definedName name="product">Setup!$L$3:$L$4</definedName>
    <definedName name="tank201">Setup!$F$3:$F$6</definedName>
    <definedName name="tanklist">Setup!$B$3:$B$6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3" l="1"/>
  <c r="J5" i="2" l="1"/>
  <c r="J4" i="2"/>
  <c r="J3" i="2"/>
</calcChain>
</file>

<file path=xl/sharedStrings.xml><?xml version="1.0" encoding="utf-8"?>
<sst xmlns="http://schemas.openxmlformats.org/spreadsheetml/2006/main" count="53" uniqueCount="50">
  <si>
    <t>Tank</t>
  </si>
  <si>
    <t>TK 201</t>
  </si>
  <si>
    <t>TK 202</t>
  </si>
  <si>
    <t>TK100</t>
  </si>
  <si>
    <t>Diam (m)</t>
  </si>
  <si>
    <t>Height (m)</t>
  </si>
  <si>
    <t>Max fill (m)</t>
  </si>
  <si>
    <t>Thickness (cm)</t>
  </si>
  <si>
    <t>Tanks</t>
  </si>
  <si>
    <t>TK 100</t>
  </si>
  <si>
    <t>Custom</t>
  </si>
  <si>
    <t>Property</t>
  </si>
  <si>
    <t>Value</t>
  </si>
  <si>
    <t>TankID[m]</t>
  </si>
  <si>
    <t>WallThickness[cm]</t>
  </si>
  <si>
    <t>FluidLevel[m]</t>
  </si>
  <si>
    <t>FireDistanceFromTankCenter[m]</t>
  </si>
  <si>
    <t>FireTemp[C]</t>
  </si>
  <si>
    <t>Ambient/InitialTemp[C]</t>
  </si>
  <si>
    <t>FluidName</t>
  </si>
  <si>
    <t>mixture</t>
  </si>
  <si>
    <t>BoilingPoint[C]</t>
  </si>
  <si>
    <t>Liquid_rho[kg/m3]</t>
  </si>
  <si>
    <t>Liquid_Cp[J/kgK]</t>
  </si>
  <si>
    <t>Liquid_k[W/mK]</t>
  </si>
  <si>
    <t>Wall_rho[kg/m3]</t>
  </si>
  <si>
    <t>Wall_Cp[J/kgK]</t>
  </si>
  <si>
    <t>Wall_k[W/mK]</t>
  </si>
  <si>
    <t>TimeStep[s]</t>
  </si>
  <si>
    <t>TimeIterations[#]</t>
  </si>
  <si>
    <t>vol_factor</t>
  </si>
  <si>
    <t>Mode</t>
  </si>
  <si>
    <t>Rings</t>
  </si>
  <si>
    <t>Slices</t>
  </si>
  <si>
    <t>C3</t>
  </si>
  <si>
    <t>IC4</t>
  </si>
  <si>
    <t>NC4</t>
  </si>
  <si>
    <t>IC5</t>
  </si>
  <si>
    <t>NC5</t>
  </si>
  <si>
    <t>C6</t>
  </si>
  <si>
    <t>Product</t>
  </si>
  <si>
    <t>Provided</t>
  </si>
  <si>
    <t>C7+</t>
  </si>
  <si>
    <t>Emissivity</t>
  </si>
  <si>
    <t>Internal_Tank_h_value[W/m²K]</t>
  </si>
  <si>
    <t>External_Tank_h_value[W/m²K]</t>
  </si>
  <si>
    <t>Case_name</t>
  </si>
  <si>
    <t>TankHeight[m]</t>
  </si>
  <si>
    <t>Steady_State</t>
  </si>
  <si>
    <t>Case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</si>
</sst>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gency FB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2" fillId="0" borderId="0" xfId="0" applyFont="1"/>
    <xf numFmtId="0" fontId="3" fillId="2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3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17079</xdr:colOff>
      <xdr:row>8</xdr:row>
      <xdr:rowOff>38625</xdr:rowOff>
    </xdr:from>
    <xdr:to>
      <xdr:col>6</xdr:col>
      <xdr:colOff>52552</xdr:colOff>
      <xdr:row>11</xdr:row>
      <xdr:rowOff>178676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5E59AB-B621-4ECC-9A32-5B3E1289EFF1}"/>
            </a:ext>
          </a:extLst>
        </xdr:cNvPr>
        <xdr:cNvSpPr/>
      </xdr:nvSpPr>
      <xdr:spPr>
        <a:xfrm>
          <a:off x="626679" y="1510073"/>
          <a:ext cx="3083473" cy="6918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>
              <a:latin typeface="+mn-lt"/>
              <a:cs typeface="Angsana New" panose="020B0502040204020203" pitchFamily="18" charset="-34"/>
            </a:rPr>
            <a:t>Wildfire</a:t>
          </a:r>
          <a:r>
            <a:rPr lang="en-CA" sz="1800" baseline="0">
              <a:latin typeface="+mn-lt"/>
              <a:cs typeface="Angsana New" panose="020B0502040204020203" pitchFamily="18" charset="-34"/>
            </a:rPr>
            <a:t> Risk Assessment Tool</a:t>
          </a:r>
          <a:endParaRPr lang="en-CA" sz="1800">
            <a:latin typeface="+mn-lt"/>
            <a:cs typeface="Angsana New" panose="020B0502040204020203" pitchFamily="18" charset="-34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3337-999B-4D2E-8B6E-0E0422B24127}">
  <sheetPr codeName="Sheet1"/>
  <dimension ref="L17"/>
  <sheetViews>
    <sheetView tabSelected="1" topLeftCell="A6" zoomScale="145" zoomScaleNormal="145" workbookViewId="0">
      <selection activeCell="G10" sqref="G10"/>
    </sheetView>
  </sheetViews>
  <sheetFormatPr defaultRowHeight="14.5" x14ac:dyDescent="0.35"/>
  <sheetData>
    <row r="17" spans="12:12" x14ac:dyDescent="0.35">
      <c r="L17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8865A-089B-467D-B4E0-843FD10A7496}">
  <sheetPr codeName="Sheet2"/>
  <dimension ref="B2:L6"/>
  <sheetViews>
    <sheetView workbookViewId="0">
      <selection activeCell="F3" sqref="F3:F6"/>
    </sheetView>
  </sheetViews>
  <sheetFormatPr defaultRowHeight="14.5" x14ac:dyDescent="0.35"/>
  <cols>
    <col min="4" max="4" width="13.7265625" customWidth="1"/>
    <col min="6" max="6" width="10.54296875" bestFit="1" customWidth="1"/>
    <col min="8" max="8" width="10.54296875" bestFit="1" customWidth="1"/>
    <col min="10" max="10" width="11.54296875" bestFit="1" customWidth="1"/>
  </cols>
  <sheetData>
    <row r="2" spans="2:12" x14ac:dyDescent="0.35">
      <c r="B2" t="s">
        <v>8</v>
      </c>
      <c r="D2" t="s">
        <v>0</v>
      </c>
      <c r="F2" t="s">
        <v>1</v>
      </c>
      <c r="H2" t="s">
        <v>2</v>
      </c>
      <c r="J2" t="s">
        <v>3</v>
      </c>
      <c r="L2" t="s">
        <v>40</v>
      </c>
    </row>
    <row r="3" spans="2:12" x14ac:dyDescent="0.35">
      <c r="B3" t="s">
        <v>1</v>
      </c>
      <c r="D3" t="s">
        <v>4</v>
      </c>
      <c r="F3" s="1">
        <v>27.431999999999999</v>
      </c>
      <c r="G3" s="1"/>
      <c r="H3" s="1">
        <v>40.843200000000003</v>
      </c>
      <c r="I3" s="1"/>
      <c r="J3" s="1">
        <f>3.28084*46.33</f>
        <v>152.00131719999999</v>
      </c>
      <c r="L3" t="s">
        <v>41</v>
      </c>
    </row>
    <row r="4" spans="2:12" x14ac:dyDescent="0.35">
      <c r="B4" t="s">
        <v>2</v>
      </c>
      <c r="D4" t="s">
        <v>5</v>
      </c>
      <c r="F4" s="1">
        <v>12.192</v>
      </c>
      <c r="G4" s="1"/>
      <c r="H4" s="1">
        <v>14.6304</v>
      </c>
      <c r="I4" s="1"/>
      <c r="J4" s="1">
        <f>3.28084*12.8</f>
        <v>41.994752000000005</v>
      </c>
      <c r="L4" t="s">
        <v>10</v>
      </c>
    </row>
    <row r="5" spans="2:12" x14ac:dyDescent="0.35">
      <c r="B5" t="s">
        <v>9</v>
      </c>
      <c r="D5" t="s">
        <v>6</v>
      </c>
      <c r="F5" s="1">
        <v>10.972799999999999</v>
      </c>
      <c r="G5" s="1"/>
      <c r="H5" s="1">
        <v>13.411199999999999</v>
      </c>
      <c r="I5" s="1"/>
      <c r="J5" s="1">
        <f>3.28084*12.192</f>
        <v>40.000001279999999</v>
      </c>
    </row>
    <row r="6" spans="2:12" x14ac:dyDescent="0.35">
      <c r="B6" t="s">
        <v>10</v>
      </c>
      <c r="D6" t="s">
        <v>7</v>
      </c>
      <c r="F6" s="1">
        <v>0.63500000000000001</v>
      </c>
      <c r="G6" s="1"/>
      <c r="H6" s="1">
        <v>0.79501999999999995</v>
      </c>
      <c r="I6" s="1"/>
      <c r="J6" s="1">
        <v>0.79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A822-80A6-4D4B-9D5F-BE4FE12EA4EA}">
  <sheetPr codeName="Sheet3"/>
  <dimension ref="A1:Q33"/>
  <sheetViews>
    <sheetView zoomScaleNormal="100" workbookViewId="0">
      <selection activeCell="A22" sqref="A22"/>
    </sheetView>
  </sheetViews>
  <sheetFormatPr defaultRowHeight="14.5" x14ac:dyDescent="0.35"/>
  <cols>
    <col min="1" max="1" width="30.54296875" bestFit="1" customWidth="1"/>
    <col min="2" max="2" width="13.54296875" bestFit="1" customWidth="1"/>
    <col min="5" max="5" width="30.54296875" bestFit="1" customWidth="1"/>
    <col min="6" max="6" width="12.54296875" bestFit="1" customWidth="1"/>
    <col min="7" max="7" width="15.7265625" bestFit="1" customWidth="1"/>
    <col min="8" max="8" width="13.7265625" bestFit="1" customWidth="1"/>
    <col min="9" max="9" width="9.81640625" customWidth="1"/>
    <col min="11" max="11" width="12.453125" bestFit="1" customWidth="1"/>
  </cols>
  <sheetData>
    <row r="1" spans="1:2" x14ac:dyDescent="0.35">
      <c r="A1" s="2" t="s">
        <v>11</v>
      </c>
      <c r="B1" t="s">
        <v>12</v>
      </c>
    </row>
    <row r="2" spans="1:2" x14ac:dyDescent="0.35">
      <c r="A2" s="3" t="s">
        <v>47</v>
      </c>
      <c r="B2" s="8">
        <v>12.19</v>
      </c>
    </row>
    <row r="3" spans="1:2" x14ac:dyDescent="0.35">
      <c r="A3" s="3" t="s">
        <v>13</v>
      </c>
      <c r="B3" s="8">
        <v>27.43</v>
      </c>
    </row>
    <row r="4" spans="1:2" x14ac:dyDescent="0.35">
      <c r="A4" s="3" t="s">
        <v>14</v>
      </c>
      <c r="B4" s="8">
        <v>0.64</v>
      </c>
    </row>
    <row r="5" spans="1:2" x14ac:dyDescent="0.35">
      <c r="A5" s="3" t="s">
        <v>15</v>
      </c>
      <c r="B5" s="9">
        <v>10</v>
      </c>
    </row>
    <row r="6" spans="1:2" x14ac:dyDescent="0.35">
      <c r="A6" s="3" t="s">
        <v>16</v>
      </c>
      <c r="B6" s="9">
        <v>50</v>
      </c>
    </row>
    <row r="7" spans="1:2" x14ac:dyDescent="0.35">
      <c r="A7" s="3" t="s">
        <v>17</v>
      </c>
      <c r="B7" s="9">
        <v>1000</v>
      </c>
    </row>
    <row r="8" spans="1:2" x14ac:dyDescent="0.35">
      <c r="A8" s="3" t="s">
        <v>18</v>
      </c>
      <c r="B8" s="9">
        <v>20</v>
      </c>
    </row>
    <row r="9" spans="1:2" x14ac:dyDescent="0.35">
      <c r="A9" s="3" t="s">
        <v>19</v>
      </c>
      <c r="B9" s="10" t="s">
        <v>20</v>
      </c>
    </row>
    <row r="10" spans="1:2" x14ac:dyDescent="0.35">
      <c r="A10" s="4" t="s">
        <v>21</v>
      </c>
      <c r="B10" s="8">
        <v>0</v>
      </c>
    </row>
    <row r="11" spans="1:2" x14ac:dyDescent="0.35">
      <c r="A11" s="4" t="s">
        <v>22</v>
      </c>
      <c r="B11" s="8">
        <v>679</v>
      </c>
    </row>
    <row r="12" spans="1:2" x14ac:dyDescent="0.35">
      <c r="A12" s="4" t="s">
        <v>23</v>
      </c>
      <c r="B12" s="8">
        <f>2.11*1000</f>
        <v>2110</v>
      </c>
    </row>
    <row r="13" spans="1:2" x14ac:dyDescent="0.35">
      <c r="A13" s="4" t="s">
        <v>24</v>
      </c>
      <c r="B13" s="8">
        <v>0.125</v>
      </c>
    </row>
    <row r="14" spans="1:2" x14ac:dyDescent="0.35">
      <c r="A14" s="4" t="s">
        <v>25</v>
      </c>
      <c r="B14" s="8">
        <v>7850</v>
      </c>
    </row>
    <row r="15" spans="1:2" x14ac:dyDescent="0.35">
      <c r="A15" s="2" t="s">
        <v>26</v>
      </c>
      <c r="B15" s="8">
        <v>510.8</v>
      </c>
    </row>
    <row r="16" spans="1:2" x14ac:dyDescent="0.35">
      <c r="A16" s="2" t="s">
        <v>27</v>
      </c>
      <c r="B16" s="8">
        <v>45</v>
      </c>
    </row>
    <row r="17" spans="1:17" x14ac:dyDescent="0.35">
      <c r="A17" s="5" t="s">
        <v>28</v>
      </c>
      <c r="B17" s="8">
        <v>0.25</v>
      </c>
      <c r="C17" s="6"/>
    </row>
    <row r="18" spans="1:17" x14ac:dyDescent="0.35">
      <c r="A18" s="5" t="s">
        <v>29</v>
      </c>
      <c r="B18" s="8">
        <v>1440</v>
      </c>
      <c r="C18" s="6"/>
      <c r="Q18" s="1"/>
    </row>
    <row r="19" spans="1:17" x14ac:dyDescent="0.35">
      <c r="A19" s="5" t="s">
        <v>32</v>
      </c>
      <c r="B19" s="8">
        <v>4</v>
      </c>
      <c r="C19" s="6"/>
    </row>
    <row r="20" spans="1:17" x14ac:dyDescent="0.35">
      <c r="A20" s="5" t="s">
        <v>33</v>
      </c>
      <c r="B20" s="8">
        <v>3</v>
      </c>
      <c r="C20" s="6"/>
    </row>
    <row r="21" spans="1:17" x14ac:dyDescent="0.35">
      <c r="A21" s="2" t="s">
        <v>30</v>
      </c>
      <c r="B21" s="8">
        <v>1.5</v>
      </c>
    </row>
    <row r="22" spans="1:17" x14ac:dyDescent="0.35">
      <c r="A22" s="2" t="s">
        <v>31</v>
      </c>
      <c r="B22" s="10" t="s">
        <v>48</v>
      </c>
    </row>
    <row r="23" spans="1:17" x14ac:dyDescent="0.35">
      <c r="A23" s="2" t="s">
        <v>46</v>
      </c>
      <c r="B23" s="10" t="s">
        <v>49</v>
      </c>
    </row>
    <row r="24" spans="1:17" x14ac:dyDescent="0.35">
      <c r="A24" s="2" t="s">
        <v>43</v>
      </c>
      <c r="B24" s="9">
        <v>1</v>
      </c>
    </row>
    <row r="25" spans="1:17" x14ac:dyDescent="0.35">
      <c r="A25" s="2" t="s">
        <v>34</v>
      </c>
      <c r="B25" s="9">
        <v>1.1000000000000001E-3</v>
      </c>
    </row>
    <row r="26" spans="1:17" x14ac:dyDescent="0.35">
      <c r="A26" s="2" t="s">
        <v>35</v>
      </c>
      <c r="B26" s="9">
        <v>7.6E-3</v>
      </c>
    </row>
    <row r="27" spans="1:17" x14ac:dyDescent="0.35">
      <c r="A27" s="2" t="s">
        <v>36</v>
      </c>
      <c r="B27" s="9">
        <v>2.0400000000000001E-2</v>
      </c>
    </row>
    <row r="28" spans="1:17" x14ac:dyDescent="0.35">
      <c r="A28" s="2" t="s">
        <v>37</v>
      </c>
      <c r="B28" s="9">
        <v>3.73E-2</v>
      </c>
    </row>
    <row r="29" spans="1:17" x14ac:dyDescent="0.35">
      <c r="A29" s="2" t="s">
        <v>38</v>
      </c>
      <c r="B29" s="9">
        <v>4.0399999999999998E-2</v>
      </c>
    </row>
    <row r="30" spans="1:17" x14ac:dyDescent="0.35">
      <c r="A30" s="2" t="s">
        <v>39</v>
      </c>
      <c r="B30" s="9">
        <v>4.2299999999999997E-2</v>
      </c>
    </row>
    <row r="31" spans="1:17" x14ac:dyDescent="0.35">
      <c r="A31" s="2" t="s">
        <v>42</v>
      </c>
      <c r="B31" s="9">
        <v>0.85089999999999999</v>
      </c>
    </row>
    <row r="32" spans="1:17" x14ac:dyDescent="0.35">
      <c r="A32" s="2" t="s">
        <v>44</v>
      </c>
      <c r="B32" s="9">
        <v>15</v>
      </c>
    </row>
    <row r="33" spans="1:2" ht="15" thickBot="1" x14ac:dyDescent="0.4">
      <c r="A33" s="2" t="s">
        <v>45</v>
      </c>
      <c r="B33" s="11">
        <v>15</v>
      </c>
    </row>
  </sheetData>
  <dataValidations count="1">
    <dataValidation type="list" showInputMessage="1" showErrorMessage="1" sqref="B22" xr:uid="{1BBB428C-E8BE-4061-8444-4C84A20C208D}">
      <formula1>"Steady_State, Fixed_Time"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Tool</vt:lpstr>
      <vt:lpstr>Setup</vt:lpstr>
      <vt:lpstr>Parameters</vt:lpstr>
      <vt:lpstr>product</vt:lpstr>
      <vt:lpstr>tank201</vt:lpstr>
      <vt:lpstr>tanklist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Lovato</dc:creator>
  <cp:lastModifiedBy>Brandon</cp:lastModifiedBy>
  <dcterms:created xsi:type="dcterms:W3CDTF">2020-03-11T20:07:14Z</dcterms:created>
  <dcterms:modified xsi:type="dcterms:W3CDTF">2020-08-04T21:49:04Z</dcterms:modified>
</cp:coreProperties>
</file>